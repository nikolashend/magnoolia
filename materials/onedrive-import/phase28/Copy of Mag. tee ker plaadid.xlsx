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7ad9fae1d1cb96b3/Magnoolia sisekujundus/"/>
    </mc:Choice>
  </mc:AlternateContent>
  <xr:revisionPtr revIDLastSave="0" documentId="8_{A9A59F43-963A-A54C-9BBC-C4C3B0776F5F}" xr6:coauthVersionLast="47" xr6:coauthVersionMax="47" xr10:uidLastSave="{00000000-0000-0000-0000-000000000000}"/>
  <bookViews>
    <workbookView xWindow="1260" yWindow="1540" windowWidth="34160" windowHeight="16940" xr2:uid="{AA69C452-6499-3B4C-B129-5BDDBE31BCD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4" i="1"/>
  <c r="Q5" i="1"/>
  <c r="Q4" i="1"/>
  <c r="P5" i="1"/>
  <c r="P4" i="1"/>
  <c r="N5" i="1"/>
  <c r="N4" i="1"/>
  <c r="L5" i="1"/>
  <c r="L4" i="1"/>
  <c r="J5" i="1"/>
  <c r="J4" i="1"/>
  <c r="H5" i="1"/>
  <c r="H4" i="1"/>
  <c r="F5" i="1"/>
  <c r="F4" i="1"/>
</calcChain>
</file>

<file path=xl/sharedStrings.xml><?xml version="1.0" encoding="utf-8"?>
<sst xmlns="http://schemas.openxmlformats.org/spreadsheetml/2006/main" count="31" uniqueCount="20">
  <si>
    <t>Magnoolia tee ker.plaadid</t>
  </si>
  <si>
    <t>Magnoolia 1</t>
  </si>
  <si>
    <t>Magnoolia 3</t>
  </si>
  <si>
    <t>Magnoolia 5</t>
  </si>
  <si>
    <t>Magnoolia 7</t>
  </si>
  <si>
    <t>Magnoolia 9</t>
  </si>
  <si>
    <t>Magnoolia 11</t>
  </si>
  <si>
    <t>KOKKU 1. etapp</t>
  </si>
  <si>
    <t>KOKKU 2. etapp</t>
  </si>
  <si>
    <t>Töö nimetus</t>
  </si>
  <si>
    <t>täpsustus</t>
  </si>
  <si>
    <t>Mõõtühik</t>
  </si>
  <si>
    <t>Kogus</t>
  </si>
  <si>
    <t>Ühiku hind</t>
  </si>
  <si>
    <t>Maksumus</t>
  </si>
  <si>
    <t>Sein . 60x120 plaadi maksumus paig.varuga</t>
  </si>
  <si>
    <t>vannituba, sauna eesruum, dusšid</t>
  </si>
  <si>
    <t>m2</t>
  </si>
  <si>
    <t>Põrand - 60x60 plaadi maksumus paig.varuga</t>
  </si>
  <si>
    <t>esik, wc, leil, sauna eesr, vannituba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</si>
</sst>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>
    <font>
      <sz val="12"/>
      <color theme="1"/>
      <name val="Aptos Narrow"/>
      <family val="2"/>
      <scheme val="minor"/>
    </font>
    <font>
      <sz val="8"/>
      <name val="Arial"/>
      <family val="2"/>
      <charset val="186"/>
    </font>
    <font>
      <sz val="8"/>
      <name val="Arial"/>
      <family val="2"/>
    </font>
    <font>
      <b/>
      <sz val="8"/>
      <name val="Arial"/>
      <family val="2"/>
      <charset val="186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5" xfId="0" applyBorder="1"/>
    <xf numFmtId="0" fontId="4" fillId="0" borderId="5" xfId="0" applyFont="1" applyBorder="1"/>
    <xf numFmtId="0" fontId="4" fillId="0" borderId="0" xfId="0" applyFont="1"/>
    <xf numFmtId="0" fontId="4" fillId="3" borderId="5" xfId="0" applyFont="1" applyFill="1" applyBorder="1"/>
    <xf numFmtId="0" fontId="4" fillId="4" borderId="5" xfId="0" applyFont="1" applyFill="1" applyBorder="1"/>
    <xf numFmtId="165" fontId="0" fillId="0" borderId="5" xfId="0" applyNumberFormat="1" applyBorder="1"/>
    <xf numFmtId="165" fontId="0" fillId="0" borderId="6" xfId="0" applyNumberFormat="1" applyBorder="1"/>
    <xf numFmtId="1" fontId="4" fillId="0" borderId="5" xfId="0" applyNumberFormat="1" applyFont="1" applyBorder="1"/>
    <xf numFmtId="1" fontId="4" fillId="4" borderId="5" xfId="0" applyNumberFormat="1" applyFont="1" applyFill="1" applyBorder="1"/>
    <xf numFmtId="0" fontId="2" fillId="4" borderId="4" xfId="0" applyFont="1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4" fontId="1" fillId="3" borderId="1" xfId="0" applyNumberFormat="1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BA6CC-B737-CA49-8151-D45A60B2C7A7}">
  <dimension ref="A1:R5"/>
  <sheetViews>
    <sheetView tabSelected="1" workbookViewId="0">
      <selection activeCell="A15" sqref="A15"/>
    </sheetView>
  </sheetViews>
  <sheetFormatPr defaultColWidth="11" defaultRowHeight="15.95"/>
  <cols>
    <col min="1" max="1" width="40.625" customWidth="1"/>
    <col min="2" max="2" width="28.5" customWidth="1"/>
    <col min="17" max="17" width="14.5" customWidth="1"/>
    <col min="18" max="18" width="14.875" customWidth="1"/>
  </cols>
  <sheetData>
    <row r="1" spans="1:18" ht="17.100000000000001" thickBot="1">
      <c r="A1" s="11" t="s">
        <v>0</v>
      </c>
    </row>
    <row r="2" spans="1:18">
      <c r="A2" s="1"/>
      <c r="B2" s="2"/>
      <c r="C2" s="1"/>
      <c r="D2" s="20" t="s">
        <v>1</v>
      </c>
      <c r="E2" s="21"/>
      <c r="F2" s="22"/>
      <c r="G2" s="23" t="s">
        <v>2</v>
      </c>
      <c r="H2" s="22"/>
      <c r="I2" s="24" t="s">
        <v>3</v>
      </c>
      <c r="J2" s="25"/>
      <c r="K2" s="24" t="s">
        <v>4</v>
      </c>
      <c r="L2" s="25"/>
      <c r="M2" s="24" t="s">
        <v>5</v>
      </c>
      <c r="N2" s="25"/>
      <c r="O2" s="18" t="s">
        <v>6</v>
      </c>
      <c r="P2" s="19"/>
      <c r="Q2" s="12" t="s">
        <v>7</v>
      </c>
      <c r="R2" s="13" t="s">
        <v>8</v>
      </c>
    </row>
    <row r="3" spans="1:18">
      <c r="A3" s="3" t="s">
        <v>9</v>
      </c>
      <c r="B3" s="3" t="s">
        <v>10</v>
      </c>
      <c r="C3" s="4" t="s">
        <v>11</v>
      </c>
      <c r="D3" s="5" t="s">
        <v>12</v>
      </c>
      <c r="E3" s="6" t="s">
        <v>13</v>
      </c>
      <c r="F3" s="7" t="s">
        <v>14</v>
      </c>
      <c r="G3" s="5" t="s">
        <v>12</v>
      </c>
      <c r="H3" s="8" t="s">
        <v>14</v>
      </c>
      <c r="I3" s="5" t="s">
        <v>12</v>
      </c>
      <c r="J3" s="8" t="s">
        <v>14</v>
      </c>
      <c r="K3" s="5" t="s">
        <v>12</v>
      </c>
      <c r="L3" s="8" t="s">
        <v>14</v>
      </c>
      <c r="M3" s="5" t="s">
        <v>12</v>
      </c>
      <c r="N3" s="8" t="s">
        <v>14</v>
      </c>
      <c r="O3" s="5" t="s">
        <v>12</v>
      </c>
      <c r="P3" s="4" t="s">
        <v>14</v>
      </c>
      <c r="Q3" s="10"/>
      <c r="R3" s="9"/>
    </row>
    <row r="4" spans="1:18">
      <c r="A4" s="10" t="s">
        <v>15</v>
      </c>
      <c r="B4" s="9" t="s">
        <v>16</v>
      </c>
      <c r="C4" s="9" t="s">
        <v>17</v>
      </c>
      <c r="D4" s="14">
        <v>121.31900000000002</v>
      </c>
      <c r="E4" s="14">
        <v>22</v>
      </c>
      <c r="F4" s="14">
        <f>D4*E4</f>
        <v>2669.0180000000005</v>
      </c>
      <c r="G4" s="14">
        <v>167.37</v>
      </c>
      <c r="H4" s="14">
        <f>E4*G4</f>
        <v>3682.1400000000003</v>
      </c>
      <c r="I4" s="14">
        <v>121.31900000000002</v>
      </c>
      <c r="J4" s="14">
        <f>E4*I4</f>
        <v>2669.0180000000005</v>
      </c>
      <c r="K4" s="14">
        <v>121.31900000000002</v>
      </c>
      <c r="L4" s="14">
        <f>E4*K4</f>
        <v>2669.0180000000005</v>
      </c>
      <c r="M4" s="14">
        <v>121.31900000000002</v>
      </c>
      <c r="N4" s="14">
        <f>E4*M4</f>
        <v>2669.0180000000005</v>
      </c>
      <c r="O4" s="14">
        <v>121.31900000000002</v>
      </c>
      <c r="P4" s="15">
        <f>E4*O4</f>
        <v>2669.0180000000005</v>
      </c>
      <c r="Q4" s="16">
        <f>D4+G4</f>
        <v>288.68900000000002</v>
      </c>
      <c r="R4" s="17">
        <f>I4+K4+M4+O4</f>
        <v>485.27600000000007</v>
      </c>
    </row>
    <row r="5" spans="1:18">
      <c r="A5" s="10" t="s">
        <v>18</v>
      </c>
      <c r="B5" s="9" t="s">
        <v>19</v>
      </c>
      <c r="C5" s="9" t="s">
        <v>17</v>
      </c>
      <c r="D5" s="14">
        <v>103.51</v>
      </c>
      <c r="E5" s="14">
        <v>18</v>
      </c>
      <c r="F5" s="14">
        <f>D5*E5</f>
        <v>1863.18</v>
      </c>
      <c r="G5" s="14">
        <v>138.64800000000002</v>
      </c>
      <c r="H5" s="14">
        <f>E5*G5</f>
        <v>2495.6640000000007</v>
      </c>
      <c r="I5" s="14">
        <v>103.51</v>
      </c>
      <c r="J5" s="14">
        <f>E5*I5</f>
        <v>1863.18</v>
      </c>
      <c r="K5" s="14">
        <v>103.51</v>
      </c>
      <c r="L5" s="14">
        <f>E5*K5</f>
        <v>1863.18</v>
      </c>
      <c r="M5" s="14">
        <v>103.51</v>
      </c>
      <c r="N5" s="14">
        <f>E5*M5</f>
        <v>1863.18</v>
      </c>
      <c r="O5" s="14">
        <v>103.51</v>
      </c>
      <c r="P5" s="15">
        <f>E5*O5</f>
        <v>1863.18</v>
      </c>
      <c r="Q5" s="16">
        <f>D5+G5</f>
        <v>242.15800000000002</v>
      </c>
      <c r="R5" s="17">
        <f>I5+K5+M5+O5</f>
        <v>414.04</v>
      </c>
    </row>
  </sheetData>
  <mergeCells count="6">
    <mergeCell ref="O2:P2"/>
    <mergeCell ref="D2:F2"/>
    <mergeCell ref="G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Estlanda OÜ</dc:creator>
  <cp:keywords/>
  <dc:description/>
  <cp:lastModifiedBy>Diana Tali</cp:lastModifiedBy>
  <cp:revision/>
  <dcterms:created xsi:type="dcterms:W3CDTF">2025-11-24T12:01:17Z</dcterms:created>
  <dcterms:modified xsi:type="dcterms:W3CDTF">2026-01-29T13:34:09Z</dcterms:modified>
  <cp:category/>
  <cp:contentStatus/>
</cp:coreProperties>
</file>